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showInkAnnotation="0"/>
  <xr:revisionPtr revIDLastSave="0" documentId="13_ncr:1_{2A98ACE5-16BE-4DAA-B39B-63AB23FCED2F}" xr6:coauthVersionLast="47" xr6:coauthVersionMax="47" xr10:uidLastSave="{00000000-0000-0000-0000-000000000000}"/>
  <bookViews>
    <workbookView xWindow="-120" yWindow="-120" windowWidth="29040" windowHeight="15720" xr2:uid="{47AA215E-EE30-4004-800A-4EDF6E1F8BAD}"/>
  </bookViews>
  <sheets>
    <sheet name="Tổng" sheetId="1" r:id="rId1"/>
    <sheet name="data" sheetId="2" r:id="rId2"/>
  </sheets>
  <definedNames>
    <definedName name="_xlnm._FilterDatabase" localSheetId="1" hidden="1">data!$A$2:$D$2</definedName>
    <definedName name="_xlnm._FilterDatabase" localSheetId="0" hidden="1">Tổng!$C$2:$X$31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L31" i="1"/>
  <c r="M31" i="1"/>
  <c r="P31" i="1"/>
  <c r="Q31" i="1"/>
  <c r="R31" i="1"/>
  <c r="S31" i="1"/>
  <c r="T31" i="1"/>
  <c r="U31" i="1"/>
  <c r="V31" i="1"/>
  <c r="W31" i="1"/>
  <c r="F31" i="1"/>
  <c r="T1" i="1" s="1"/>
  <c r="G31" i="1"/>
  <c r="K31" i="1"/>
  <c r="N31" i="1"/>
  <c r="I30" i="1" l="1"/>
  <c r="I29" i="1"/>
  <c r="J29" i="1" s="1"/>
  <c r="I28" i="1"/>
  <c r="I27" i="1"/>
  <c r="I26" i="1"/>
  <c r="J26" i="1" s="1"/>
  <c r="I25" i="1"/>
  <c r="O31" i="1"/>
  <c r="I24" i="1"/>
  <c r="I23" i="1"/>
  <c r="I22" i="1"/>
  <c r="I21" i="1"/>
  <c r="I20" i="1"/>
  <c r="J20" i="1" s="1"/>
  <c r="I19" i="1"/>
  <c r="I18" i="1"/>
  <c r="I17" i="1"/>
  <c r="I16" i="1"/>
  <c r="I15" i="1"/>
  <c r="I14" i="1"/>
  <c r="I13" i="1"/>
  <c r="I12" i="1"/>
  <c r="J12" i="1" s="1"/>
  <c r="I11" i="1"/>
  <c r="I10" i="1"/>
  <c r="I9" i="1"/>
  <c r="AC9" i="1" s="1"/>
  <c r="I8" i="1"/>
  <c r="I7" i="1"/>
  <c r="I6" i="1"/>
  <c r="AB6" i="1" s="1"/>
  <c r="H31" i="1"/>
  <c r="I5" i="1"/>
  <c r="I4" i="1"/>
  <c r="X31" i="1"/>
  <c r="Y31" i="1"/>
  <c r="Z31" i="1"/>
  <c r="AA31" i="1"/>
  <c r="I3" i="1"/>
  <c r="AB3" i="1" s="1"/>
  <c r="V1" i="1"/>
  <c r="Y1" i="1"/>
  <c r="AB30" i="1" l="1"/>
  <c r="AC30" i="1"/>
  <c r="J30" i="1"/>
  <c r="J28" i="1"/>
  <c r="AB28" i="1"/>
  <c r="AC28" i="1"/>
  <c r="AC27" i="1"/>
  <c r="AB27" i="1"/>
  <c r="J27" i="1"/>
  <c r="AC26" i="1"/>
  <c r="AB26" i="1"/>
  <c r="J25" i="1"/>
  <c r="AB25" i="1"/>
  <c r="AC25" i="1"/>
  <c r="AB24" i="1"/>
  <c r="J24" i="1"/>
  <c r="AC24" i="1"/>
  <c r="AC23" i="1"/>
  <c r="J23" i="1"/>
  <c r="AB23" i="1"/>
  <c r="AC22" i="1"/>
  <c r="AB22" i="1"/>
  <c r="J22" i="1"/>
  <c r="AC21" i="1"/>
  <c r="AB21" i="1"/>
  <c r="J21" i="1"/>
  <c r="AC20" i="1"/>
  <c r="AB20" i="1"/>
  <c r="AC19" i="1"/>
  <c r="AB19" i="1"/>
  <c r="J19" i="1"/>
  <c r="AB18" i="1"/>
  <c r="AC18" i="1"/>
  <c r="J18" i="1"/>
  <c r="AB17" i="1"/>
  <c r="J17" i="1"/>
  <c r="AC17" i="1"/>
  <c r="AB16" i="1"/>
  <c r="AC16" i="1"/>
  <c r="J16" i="1"/>
  <c r="AC15" i="1"/>
  <c r="J15" i="1"/>
  <c r="AB15" i="1"/>
  <c r="AC14" i="1"/>
  <c r="J14" i="1"/>
  <c r="AB14" i="1"/>
  <c r="AC13" i="1"/>
  <c r="J13" i="1"/>
  <c r="AB13" i="1"/>
  <c r="AC12" i="1"/>
  <c r="AB12" i="1"/>
  <c r="J11" i="1"/>
  <c r="AC11" i="1"/>
  <c r="AB11" i="1"/>
  <c r="J10" i="1"/>
  <c r="AC10" i="1"/>
  <c r="AB10" i="1"/>
  <c r="AB9" i="1"/>
  <c r="J9" i="1"/>
  <c r="AC8" i="1"/>
  <c r="AB8" i="1"/>
  <c r="J8" i="1"/>
  <c r="J7" i="1"/>
  <c r="AB7" i="1"/>
  <c r="AC7" i="1"/>
  <c r="AC6" i="1"/>
  <c r="J6" i="1"/>
  <c r="J5" i="1"/>
  <c r="AB5" i="1"/>
  <c r="AC5" i="1"/>
  <c r="AC4" i="1"/>
  <c r="AB4" i="1"/>
  <c r="J4" i="1"/>
  <c r="I31" i="1"/>
  <c r="J3" i="1"/>
  <c r="AC3" i="1"/>
  <c r="J31" i="1" l="1"/>
  <c r="AB31" i="1"/>
  <c r="AC31" i="1"/>
</calcChain>
</file>

<file path=xl/sharedStrings.xml><?xml version="1.0" encoding="utf-8"?>
<sst xmlns="http://schemas.openxmlformats.org/spreadsheetml/2006/main" count="104" uniqueCount="77">
  <si>
    <t xml:space="preserve">Hàng mới: </t>
  </si>
  <si>
    <t>Số TTTC quét gửi đến</t>
  </si>
  <si>
    <t xml:space="preserve">Số đơn chưa đến </t>
  </si>
  <si>
    <t>Số đơn chuyển tiếp</t>
  </si>
  <si>
    <t xml:space="preserve">Cần phát ra: </t>
  </si>
  <si>
    <t>Cần kí đạt KPI 91%</t>
  </si>
  <si>
    <t>Còn thiếu mốc 91%</t>
  </si>
  <si>
    <t>STT</t>
  </si>
  <si>
    <t>Người phụ trách ( SPV)</t>
  </si>
  <si>
    <t>Quét mã ở Bưu cục</t>
  </si>
  <si>
    <t>Mã nhân viên phát</t>
  </si>
  <si>
    <t>Nhân viên phát</t>
  </si>
  <si>
    <t>Số đơn cần kí nhận thời hiệu 91%</t>
  </si>
  <si>
    <t xml:space="preserve">Số vận đơn ký nhận </t>
  </si>
  <si>
    <t>Tỉ lệ ký nhận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</si>
  <si>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</si>
  <si>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</si>
  <si>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</si>
  <si>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</si>
  <si>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</si>
  <si>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</si>
  <si>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</si>
  <si>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</si>
  <si>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</si>
  <si>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</si>
  <si>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20h</t>
  </si>
  <si>
    <t>21h</t>
  </si>
  <si>
    <t>Tổng</t>
  </si>
  <si>
    <t>Thời gian</t>
  </si>
  <si>
    <t>Mã Shipper</t>
  </si>
  <si>
    <t>Tên nhân viên phát hàng</t>
  </si>
  <si>
    <t>Thời gian ký nhận</t>
  </si>
  <si>
    <t>18h</t>
  </si>
  <si>
    <t>19h</t>
  </si>
  <si>
    <t>22H</t>
  </si>
  <si>
    <t>23H</t>
  </si>
  <si>
    <t>24H</t>
  </si>
  <si>
    <t>.</t>
  </si>
  <si>
    <t>tỷ lên đạt 90% trở lên</t>
  </si>
  <si>
    <t>Tỷ lệ 8x</t>
  </si>
  <si>
    <t>Tỷ lệ &lt;80%</t>
  </si>
  <si>
    <t>Quy ước màu tỷ lệ</t>
  </si>
  <si>
    <t>Đơn phát</t>
  </si>
  <si>
    <t>Cần kí đạt KPI 90%</t>
  </si>
  <si>
    <t>Số đơn cần kí Basline
90%</t>
  </si>
  <si>
    <t>Còn thiếu mốc Basline
90%</t>
  </si>
  <si>
    <t>214A02</t>
  </si>
  <si>
    <t>BẢNG KÝ NHẬN THỜI HIỆU THEO MỐC THỜI GIAN 214A02</t>
  </si>
  <si>
    <t>Giám sát 01</t>
  </si>
  <si>
    <t>Nhân viên 01</t>
  </si>
  <si>
    <t>Nhân viên 02</t>
  </si>
  <si>
    <t>Nhân viên 03</t>
  </si>
  <si>
    <t>Nhân viên 04</t>
  </si>
  <si>
    <t>Nhân viên 05</t>
  </si>
  <si>
    <t>Nhân viên 06</t>
  </si>
  <si>
    <t>Nhân viên 07</t>
  </si>
  <si>
    <t>Nhân viên 08</t>
  </si>
  <si>
    <t>Nhân viên 09</t>
  </si>
  <si>
    <t>Nhân viên 10</t>
  </si>
  <si>
    <t>Nhân viên 11</t>
  </si>
  <si>
    <t>Nhân viên 12</t>
  </si>
  <si>
    <t>Nhân viên 13</t>
  </si>
  <si>
    <t>Nhân viên 14</t>
  </si>
  <si>
    <t>Nhân viên 15</t>
  </si>
  <si>
    <t>Nhân viên 16</t>
  </si>
  <si>
    <t>Nhân viên 17</t>
  </si>
  <si>
    <t>Nhân viên 18</t>
  </si>
  <si>
    <t>Nhân viên 19</t>
  </si>
  <si>
    <t>Nhân viên 20</t>
  </si>
  <si>
    <t>Nhân viên 21</t>
  </si>
  <si>
    <t>Nhân viên 22</t>
  </si>
  <si>
    <t>Nhân viên 23</t>
  </si>
  <si>
    <t>Nhân viên 24</t>
  </si>
  <si>
    <t>Nhân viên 25</t>
  </si>
  <si>
    <t>Nhân viên 26</t>
  </si>
  <si>
    <t>Nhân viên 27</t>
  </si>
  <si>
    <t>Nhân viên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</si>
</sst>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_ "/>
    <numFmt numFmtId="165" formatCode="0.0%"/>
    <numFmt numFmtId="166" formatCode="_-* #,##0_-;\-* #,##0_-;_-* &quot;-&quot;??_-;_-@_-"/>
  </numFmts>
  <fonts count="23"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00FF"/>
      <name val="宋体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Calibri Light"/>
      <family val="2"/>
      <scheme val="maj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0"/>
      <color theme="1"/>
      <name val="Arial"/>
      <family val="2"/>
    </font>
    <font>
      <b/>
      <sz val="12"/>
      <color theme="0"/>
      <name val="Times New Roman"/>
      <family val="1"/>
    </font>
    <font>
      <b/>
      <sz val="12"/>
      <color rgb="FFFF0000"/>
      <name val="Calibri Light"/>
      <family val="2"/>
      <scheme val="major"/>
    </font>
    <font>
      <sz val="16"/>
      <color theme="0"/>
      <name val="Arial"/>
      <family val="2"/>
    </font>
    <font>
      <sz val="12"/>
      <color theme="0"/>
      <name val="Times New Roman"/>
      <family val="1"/>
    </font>
    <font>
      <sz val="10"/>
      <color theme="1" tint="4.9989318521683403E-2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C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/>
    <xf numFmtId="0" fontId="5" fillId="0" borderId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5" borderId="1" xfId="3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1" fontId="12" fillId="4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1" fontId="0" fillId="6" borderId="2" xfId="0" applyNumberFormat="1" applyFill="1" applyBorder="1" applyAlignment="1">
      <alignment horizontal="center"/>
    </xf>
    <xf numFmtId="41" fontId="14" fillId="6" borderId="2" xfId="2" applyNumberFormat="1" applyFont="1" applyFill="1" applyBorder="1" applyAlignment="1">
      <alignment horizontal="center" vertical="center"/>
    </xf>
    <xf numFmtId="41" fontId="15" fillId="7" borderId="2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6" borderId="2" xfId="0" applyFill="1" applyBorder="1"/>
    <xf numFmtId="164" fontId="11" fillId="0" borderId="2" xfId="0" applyNumberFormat="1" applyFont="1" applyBorder="1"/>
    <xf numFmtId="10" fontId="0" fillId="4" borderId="2" xfId="0" applyNumberFormat="1" applyFill="1" applyBorder="1"/>
    <xf numFmtId="0" fontId="0" fillId="6" borderId="0" xfId="0" applyFill="1" applyAlignment="1">
      <alignment horizontal="center"/>
    </xf>
    <xf numFmtId="0" fontId="17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top" wrapText="1"/>
    </xf>
    <xf numFmtId="0" fontId="11" fillId="6" borderId="2" xfId="0" applyFont="1" applyFill="1" applyBorder="1"/>
    <xf numFmtId="1" fontId="18" fillId="4" borderId="2" xfId="0" applyNumberFormat="1" applyFont="1" applyFill="1" applyBorder="1" applyAlignment="1">
      <alignment horizontal="center" vertical="center" wrapText="1"/>
    </xf>
    <xf numFmtId="165" fontId="16" fillId="0" borderId="2" xfId="0" applyNumberFormat="1" applyFont="1" applyBorder="1"/>
    <xf numFmtId="0" fontId="18" fillId="4" borderId="2" xfId="0" applyFont="1" applyFill="1" applyBorder="1" applyAlignment="1">
      <alignment horizontal="center" vertical="center" wrapText="1"/>
    </xf>
    <xf numFmtId="1" fontId="18" fillId="6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9" borderId="3" xfId="0" applyFont="1" applyFill="1" applyBorder="1" applyAlignment="1">
      <alignment horizontal="left" vertical="top"/>
    </xf>
    <xf numFmtId="0" fontId="0" fillId="6" borderId="3" xfId="0" applyFill="1" applyBorder="1"/>
    <xf numFmtId="166" fontId="1" fillId="0" borderId="2" xfId="1" applyNumberForma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8" fillId="6" borderId="5" xfId="0" applyNumberFormat="1" applyFont="1" applyFill="1" applyBorder="1" applyAlignment="1">
      <alignment horizontal="center" vertical="center" wrapText="1"/>
    </xf>
    <xf numFmtId="1" fontId="18" fillId="6" borderId="6" xfId="0" applyNumberFormat="1" applyFont="1" applyFill="1" applyBorder="1" applyAlignment="1">
      <alignment horizontal="center" vertical="center" wrapText="1"/>
    </xf>
    <xf numFmtId="1" fontId="18" fillId="6" borderId="7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" fontId="18" fillId="6" borderId="8" xfId="0" applyNumberFormat="1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7">
    <cellStyle name="Comma" xfId="1" builtinId="3"/>
    <cellStyle name="Normal" xfId="0" builtinId="0"/>
    <cellStyle name="Normal 2" xfId="2" xr:uid="{7CC85640-2444-4F26-B101-36A54DBB0B6D}"/>
    <cellStyle name="Normal 3" xfId="3" xr:uid="{842989BA-FEB1-47D7-9B1A-ABF638015AF2}"/>
    <cellStyle name="Normal 4" xfId="4" xr:uid="{239A6AD5-1A72-45BB-9F4D-94E3D5928D15}"/>
    <cellStyle name="Normal 5" xfId="5" xr:uid="{487CCD06-5352-4143-BF47-A7F8BB5B9269}"/>
    <cellStyle name="Percent 2" xfId="6" xr:uid="{F09A8A5F-2D89-4089-8E2E-F15F5AF3C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4E62-7A12-4FC1-8044-BACF06F226E2}">
  <dimension ref="A1:AI35"/>
  <sheetViews>
    <sheetView tabSelected="1" zoomScale="70" zoomScaleNormal="70" workbookViewId="0">
      <selection activeCell="K38" sqref="K38"/>
    </sheetView>
  </sheetViews>
  <sheetFormatPr defaultRowHeight="15" customHeight="1"/>
  <cols>
    <col min="1" max="1" width="6.5703125" customWidth="1"/>
    <col min="2" max="2" width="14.42578125" customWidth="1"/>
    <col min="3" max="3" width="13.42578125" customWidth="1"/>
    <col min="4" max="4" width="13.28515625" style="8" customWidth="1"/>
    <col min="5" max="5" width="31" customWidth="1"/>
    <col min="6" max="6" width="9.85546875" style="9" customWidth="1"/>
    <col min="7" max="7" width="12.28515625" style="9" customWidth="1"/>
    <col min="8" max="8" width="11.42578125" style="9" customWidth="1"/>
    <col min="9" max="9" width="7.42578125" style="9" customWidth="1"/>
    <col min="10" max="10" width="10.85546875" customWidth="1"/>
    <col min="11" max="11" width="8.140625" style="24" customWidth="1"/>
    <col min="12" max="29" width="8.140625" style="9" customWidth="1"/>
    <col min="31" max="31" width="31" customWidth="1"/>
    <col min="33" max="33" width="28.140625" customWidth="1"/>
  </cols>
  <sheetData>
    <row r="1" spans="1:35" ht="81" customHeight="1">
      <c r="A1" s="46" t="s">
        <v>47</v>
      </c>
      <c r="B1" s="46"/>
      <c r="C1" s="46"/>
      <c r="D1" s="46"/>
      <c r="E1" s="46"/>
      <c r="F1" s="46"/>
      <c r="G1" s="46"/>
      <c r="H1" s="46"/>
      <c r="I1" s="46"/>
      <c r="J1" s="46"/>
      <c r="K1" s="15" t="s">
        <v>0</v>
      </c>
      <c r="L1" s="31">
        <v>3000</v>
      </c>
      <c r="M1" s="15" t="s">
        <v>1</v>
      </c>
      <c r="N1" s="31">
        <v>2950</v>
      </c>
      <c r="O1" s="15" t="s">
        <v>2</v>
      </c>
      <c r="P1" s="29">
        <v>2</v>
      </c>
      <c r="Q1" s="15" t="s">
        <v>3</v>
      </c>
      <c r="R1" s="31">
        <v>15</v>
      </c>
      <c r="S1" s="15" t="s">
        <v>4</v>
      </c>
      <c r="T1" s="32">
        <f>F31</f>
        <v>6888</v>
      </c>
      <c r="U1" s="33" t="s">
        <v>5</v>
      </c>
      <c r="V1" s="41">
        <f>T1*91%</f>
        <v>6268.08</v>
      </c>
      <c r="W1" s="42"/>
      <c r="X1" s="33" t="s">
        <v>43</v>
      </c>
      <c r="Y1" s="43">
        <f>T1*90%</f>
        <v>6199.2</v>
      </c>
      <c r="Z1" s="44"/>
      <c r="AA1" s="45"/>
      <c r="AB1" s="39" t="s">
        <v>6</v>
      </c>
      <c r="AC1" s="39" t="s">
        <v>45</v>
      </c>
      <c r="AD1" s="38"/>
    </row>
    <row r="2" spans="1:35" s="7" customFormat="1" ht="77.25" customHeight="1">
      <c r="A2" s="10" t="s">
        <v>7</v>
      </c>
      <c r="B2" s="10" t="s">
        <v>8</v>
      </c>
      <c r="C2" s="11" t="s">
        <v>9</v>
      </c>
      <c r="D2" s="11" t="s">
        <v>10</v>
      </c>
      <c r="E2" s="11" t="s">
        <v>11</v>
      </c>
      <c r="F2" s="11" t="s">
        <v>42</v>
      </c>
      <c r="G2" s="12" t="s">
        <v>12</v>
      </c>
      <c r="H2" s="12" t="s">
        <v>44</v>
      </c>
      <c r="I2" s="16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  <c r="P2" s="16" t="s">
        <v>20</v>
      </c>
      <c r="Q2" s="16" t="s">
        <v>21</v>
      </c>
      <c r="R2" s="16" t="s">
        <v>22</v>
      </c>
      <c r="S2" s="16" t="s">
        <v>23</v>
      </c>
      <c r="T2" s="16" t="s">
        <v>24</v>
      </c>
      <c r="U2" s="16" t="s">
        <v>32</v>
      </c>
      <c r="V2" s="16" t="s">
        <v>33</v>
      </c>
      <c r="W2" s="16" t="s">
        <v>25</v>
      </c>
      <c r="X2" s="16" t="s">
        <v>26</v>
      </c>
      <c r="Y2" s="16" t="s">
        <v>34</v>
      </c>
      <c r="Z2" s="16" t="s">
        <v>35</v>
      </c>
      <c r="AA2" s="16" t="s">
        <v>36</v>
      </c>
      <c r="AB2" s="39"/>
      <c r="AC2" s="39"/>
      <c r="AD2" s="38"/>
      <c r="AE2"/>
      <c r="AF2"/>
      <c r="AG2"/>
      <c r="AH2"/>
      <c r="AI2"/>
    </row>
    <row r="3" spans="1:35" ht="15" customHeight="1">
      <c r="A3" s="13">
        <v>1</v>
      </c>
      <c r="B3" s="40" t="s">
        <v>48</v>
      </c>
      <c r="C3" s="13" t="s">
        <v>46</v>
      </c>
      <c r="D3" s="13"/>
      <c r="E3" s="20" t="s">
        <v>49</v>
      </c>
      <c r="F3" s="13">
        <v>175</v>
      </c>
      <c r="G3" s="22">
        <f t="shared" ref="G3:G30" si="0">F3*911/1000</f>
        <v>159.42500000000001</v>
      </c>
      <c r="H3" s="22">
        <f>F3*90%</f>
        <v>157.5</v>
      </c>
      <c r="I3" s="17">
        <f>SUM(K3:AA3)</f>
        <v>155</v>
      </c>
      <c r="J3" s="30">
        <f>I3/F3</f>
        <v>0.88571428571428568</v>
      </c>
      <c r="K3" s="18">
        <v>2</v>
      </c>
      <c r="L3" s="18">
        <v>4</v>
      </c>
      <c r="M3" s="18">
        <v>4</v>
      </c>
      <c r="N3" s="18">
        <v>17</v>
      </c>
      <c r="O3" s="18">
        <v>5</v>
      </c>
      <c r="P3" s="18">
        <v>8</v>
      </c>
      <c r="Q3" s="18">
        <v>23</v>
      </c>
      <c r="R3" s="18">
        <v>16</v>
      </c>
      <c r="S3" s="18">
        <v>5</v>
      </c>
      <c r="T3" s="18">
        <v>25</v>
      </c>
      <c r="U3" s="18">
        <v>7</v>
      </c>
      <c r="V3" s="18">
        <v>8</v>
      </c>
      <c r="W3" s="18">
        <v>16</v>
      </c>
      <c r="X3" s="18">
        <v>10</v>
      </c>
      <c r="Y3" s="18">
        <v>3</v>
      </c>
      <c r="Z3" s="18">
        <v>2</v>
      </c>
      <c r="AA3" s="18">
        <v>0</v>
      </c>
      <c r="AB3" s="37">
        <f>G3-I3</f>
        <v>4.4250000000000114</v>
      </c>
      <c r="AC3" s="37">
        <f>H3-I3</f>
        <v>2.5</v>
      </c>
      <c r="AD3" s="34"/>
    </row>
    <row r="4" spans="1:35" ht="15" customHeight="1">
      <c r="A4" s="13">
        <v>2</v>
      </c>
      <c r="B4" s="40"/>
      <c r="C4" s="13" t="s">
        <v>46</v>
      </c>
      <c r="D4" s="13"/>
      <c r="E4" s="20" t="s">
        <v>50</v>
      </c>
      <c r="F4" s="13">
        <v>217</v>
      </c>
      <c r="G4" s="22">
        <f t="shared" si="0"/>
        <v>197.68700000000001</v>
      </c>
      <c r="H4" s="22">
        <f t="shared" ref="H4:H27" si="1">F4*90%</f>
        <v>195.3</v>
      </c>
      <c r="I4" s="17">
        <f t="shared" ref="I4:I27" si="2">SUM(K4:AA4)</f>
        <v>215</v>
      </c>
      <c r="J4" s="30">
        <f t="shared" ref="J4:J27" si="3">I4/F4</f>
        <v>0.99078341013824889</v>
      </c>
      <c r="K4" s="18">
        <v>0</v>
      </c>
      <c r="L4" s="18">
        <v>26</v>
      </c>
      <c r="M4" s="18">
        <v>19</v>
      </c>
      <c r="N4" s="18">
        <v>13</v>
      </c>
      <c r="O4" s="18">
        <v>5</v>
      </c>
      <c r="P4" s="18">
        <v>2</v>
      </c>
      <c r="Q4" s="18">
        <v>23</v>
      </c>
      <c r="R4" s="18">
        <v>26</v>
      </c>
      <c r="S4" s="18">
        <v>17</v>
      </c>
      <c r="T4" s="18">
        <v>1</v>
      </c>
      <c r="U4" s="18">
        <v>23</v>
      </c>
      <c r="V4" s="18">
        <v>4</v>
      </c>
      <c r="W4" s="18">
        <v>29</v>
      </c>
      <c r="X4" s="18">
        <v>22</v>
      </c>
      <c r="Y4" s="18">
        <v>4</v>
      </c>
      <c r="Z4" s="18">
        <v>1</v>
      </c>
      <c r="AA4" s="18">
        <v>0</v>
      </c>
      <c r="AB4" s="37">
        <f t="shared" ref="AB4:AB30" si="4">G4-I4</f>
        <v>-17.312999999999988</v>
      </c>
      <c r="AC4" s="37">
        <f t="shared" ref="AC4:AC30" si="5">H4-I4</f>
        <v>-19.699999999999989</v>
      </c>
      <c r="AD4" s="34"/>
    </row>
    <row r="5" spans="1:35" ht="14.45" customHeight="1">
      <c r="A5" s="13">
        <v>3</v>
      </c>
      <c r="B5" s="40"/>
      <c r="C5" s="13" t="s">
        <v>46</v>
      </c>
      <c r="D5" s="13"/>
      <c r="E5" s="20" t="s">
        <v>51</v>
      </c>
      <c r="F5" s="13">
        <v>198</v>
      </c>
      <c r="G5" s="22">
        <f t="shared" si="0"/>
        <v>180.37799999999999</v>
      </c>
      <c r="H5" s="22">
        <f t="shared" si="1"/>
        <v>178.20000000000002</v>
      </c>
      <c r="I5" s="17">
        <f t="shared" si="2"/>
        <v>185</v>
      </c>
      <c r="J5" s="30">
        <f t="shared" si="3"/>
        <v>0.93434343434343436</v>
      </c>
      <c r="K5" s="18">
        <v>0</v>
      </c>
      <c r="L5" s="18">
        <v>19</v>
      </c>
      <c r="M5" s="18">
        <v>27</v>
      </c>
      <c r="N5" s="18">
        <v>0</v>
      </c>
      <c r="O5" s="18">
        <v>17</v>
      </c>
      <c r="P5" s="18">
        <v>26</v>
      </c>
      <c r="Q5" s="18">
        <v>24</v>
      </c>
      <c r="R5" s="18">
        <v>12</v>
      </c>
      <c r="S5" s="18">
        <v>4</v>
      </c>
      <c r="T5" s="18">
        <v>0</v>
      </c>
      <c r="U5" s="18">
        <v>1</v>
      </c>
      <c r="V5" s="18">
        <v>25</v>
      </c>
      <c r="W5" s="18">
        <v>20</v>
      </c>
      <c r="X5" s="18">
        <v>3</v>
      </c>
      <c r="Y5" s="18">
        <v>1</v>
      </c>
      <c r="Z5" s="18">
        <v>6</v>
      </c>
      <c r="AA5" s="18">
        <v>0</v>
      </c>
      <c r="AB5" s="37">
        <f t="shared" si="4"/>
        <v>-4.6220000000000141</v>
      </c>
      <c r="AC5" s="37">
        <f t="shared" si="5"/>
        <v>-6.7999999999999829</v>
      </c>
      <c r="AD5" s="34"/>
    </row>
    <row r="6" spans="1:35" ht="14.45" customHeight="1">
      <c r="A6" s="13">
        <v>4</v>
      </c>
      <c r="B6" s="40"/>
      <c r="C6" s="13" t="s">
        <v>46</v>
      </c>
      <c r="D6" s="13"/>
      <c r="E6" s="20" t="s">
        <v>52</v>
      </c>
      <c r="F6" s="13">
        <v>148</v>
      </c>
      <c r="G6" s="22">
        <f t="shared" si="0"/>
        <v>134.828</v>
      </c>
      <c r="H6" s="22">
        <f t="shared" si="1"/>
        <v>133.20000000000002</v>
      </c>
      <c r="I6" s="17">
        <f t="shared" si="2"/>
        <v>133</v>
      </c>
      <c r="J6" s="30">
        <f t="shared" si="3"/>
        <v>0.89864864864864868</v>
      </c>
      <c r="K6" s="18">
        <v>1</v>
      </c>
      <c r="L6" s="18">
        <v>4</v>
      </c>
      <c r="M6" s="18">
        <v>1</v>
      </c>
      <c r="N6" s="18">
        <v>19</v>
      </c>
      <c r="O6" s="18">
        <v>17</v>
      </c>
      <c r="P6" s="18">
        <v>1</v>
      </c>
      <c r="Q6" s="18">
        <v>13</v>
      </c>
      <c r="R6" s="18">
        <v>23</v>
      </c>
      <c r="S6" s="18">
        <v>20</v>
      </c>
      <c r="T6" s="18">
        <v>7</v>
      </c>
      <c r="U6" s="18">
        <v>0</v>
      </c>
      <c r="V6" s="18">
        <v>12</v>
      </c>
      <c r="W6" s="18">
        <v>8</v>
      </c>
      <c r="X6" s="18">
        <v>2</v>
      </c>
      <c r="Y6" s="18">
        <v>5</v>
      </c>
      <c r="Z6" s="18">
        <v>0</v>
      </c>
      <c r="AA6" s="18">
        <v>0</v>
      </c>
      <c r="AB6" s="37">
        <f t="shared" si="4"/>
        <v>1.828000000000003</v>
      </c>
      <c r="AC6" s="37">
        <f t="shared" si="5"/>
        <v>0.20000000000001705</v>
      </c>
      <c r="AD6" s="34"/>
    </row>
    <row r="7" spans="1:35" ht="14.45" customHeight="1">
      <c r="A7" s="13">
        <v>5</v>
      </c>
      <c r="B7" s="40"/>
      <c r="C7" s="13" t="s">
        <v>46</v>
      </c>
      <c r="D7" s="13"/>
      <c r="E7" s="20" t="s">
        <v>53</v>
      </c>
      <c r="F7" s="13">
        <v>218</v>
      </c>
      <c r="G7" s="22">
        <f t="shared" si="0"/>
        <v>198.59800000000001</v>
      </c>
      <c r="H7" s="22">
        <f t="shared" si="1"/>
        <v>196.20000000000002</v>
      </c>
      <c r="I7" s="17">
        <f t="shared" si="2"/>
        <v>189</v>
      </c>
      <c r="J7" s="30">
        <f t="shared" si="3"/>
        <v>0.8669724770642202</v>
      </c>
      <c r="K7" s="18">
        <v>0</v>
      </c>
      <c r="L7" s="18">
        <v>26</v>
      </c>
      <c r="M7" s="18">
        <v>14</v>
      </c>
      <c r="N7" s="18">
        <v>16</v>
      </c>
      <c r="O7" s="18">
        <v>16</v>
      </c>
      <c r="P7" s="18">
        <v>0</v>
      </c>
      <c r="Q7" s="18">
        <v>27</v>
      </c>
      <c r="R7" s="18">
        <v>0</v>
      </c>
      <c r="S7" s="18">
        <v>0</v>
      </c>
      <c r="T7" s="18">
        <v>2</v>
      </c>
      <c r="U7" s="18">
        <v>21</v>
      </c>
      <c r="V7" s="18">
        <v>1</v>
      </c>
      <c r="W7" s="18">
        <v>30</v>
      </c>
      <c r="X7" s="18">
        <v>30</v>
      </c>
      <c r="Y7" s="18">
        <v>3</v>
      </c>
      <c r="Z7" s="18">
        <v>3</v>
      </c>
      <c r="AA7" s="18">
        <v>0</v>
      </c>
      <c r="AB7" s="37">
        <f t="shared" si="4"/>
        <v>9.5980000000000132</v>
      </c>
      <c r="AC7" s="37">
        <f t="shared" si="5"/>
        <v>7.2000000000000171</v>
      </c>
      <c r="AD7" s="34"/>
    </row>
    <row r="8" spans="1:35" ht="14.45" customHeight="1">
      <c r="A8" s="13">
        <v>6</v>
      </c>
      <c r="B8" s="40"/>
      <c r="C8" s="13" t="s">
        <v>46</v>
      </c>
      <c r="D8" s="13"/>
      <c r="E8" s="20" t="s">
        <v>54</v>
      </c>
      <c r="F8" s="13">
        <v>243</v>
      </c>
      <c r="G8" s="22">
        <f t="shared" si="0"/>
        <v>221.37299999999999</v>
      </c>
      <c r="H8" s="22">
        <f t="shared" si="1"/>
        <v>218.70000000000002</v>
      </c>
      <c r="I8" s="17">
        <f t="shared" si="2"/>
        <v>234</v>
      </c>
      <c r="J8" s="30">
        <f t="shared" si="3"/>
        <v>0.96296296296296291</v>
      </c>
      <c r="K8" s="18">
        <v>0</v>
      </c>
      <c r="L8" s="18">
        <v>12</v>
      </c>
      <c r="M8" s="18">
        <v>4</v>
      </c>
      <c r="N8" s="18">
        <v>14</v>
      </c>
      <c r="O8" s="18">
        <v>26</v>
      </c>
      <c r="P8" s="18">
        <v>17</v>
      </c>
      <c r="Q8" s="18">
        <v>13</v>
      </c>
      <c r="R8" s="18">
        <v>9</v>
      </c>
      <c r="S8" s="18">
        <v>29</v>
      </c>
      <c r="T8" s="18">
        <v>19</v>
      </c>
      <c r="U8" s="18">
        <v>24</v>
      </c>
      <c r="V8" s="18">
        <v>0</v>
      </c>
      <c r="W8" s="18">
        <v>29</v>
      </c>
      <c r="X8" s="18">
        <v>31</v>
      </c>
      <c r="Y8" s="18">
        <v>2</v>
      </c>
      <c r="Z8" s="18">
        <v>5</v>
      </c>
      <c r="AA8" s="18">
        <v>0</v>
      </c>
      <c r="AB8" s="37">
        <f t="shared" si="4"/>
        <v>-12.62700000000001</v>
      </c>
      <c r="AC8" s="37">
        <f t="shared" si="5"/>
        <v>-15.299999999999983</v>
      </c>
      <c r="AD8" s="34"/>
    </row>
    <row r="9" spans="1:35" ht="15" customHeight="1">
      <c r="A9" s="13">
        <v>7</v>
      </c>
      <c r="B9" s="40"/>
      <c r="C9" s="13" t="s">
        <v>46</v>
      </c>
      <c r="D9" s="13"/>
      <c r="E9" s="20" t="s">
        <v>55</v>
      </c>
      <c r="F9" s="13">
        <v>257</v>
      </c>
      <c r="G9" s="22">
        <f t="shared" si="0"/>
        <v>234.12700000000001</v>
      </c>
      <c r="H9" s="22">
        <f t="shared" si="1"/>
        <v>231.3</v>
      </c>
      <c r="I9" s="17">
        <f t="shared" si="2"/>
        <v>221</v>
      </c>
      <c r="J9" s="30">
        <f t="shared" si="3"/>
        <v>0.8599221789883269</v>
      </c>
      <c r="K9" s="18">
        <v>0</v>
      </c>
      <c r="L9" s="18">
        <v>14</v>
      </c>
      <c r="M9" s="18">
        <v>10</v>
      </c>
      <c r="N9" s="18">
        <v>25</v>
      </c>
      <c r="O9" s="18">
        <v>4</v>
      </c>
      <c r="P9" s="18">
        <v>4</v>
      </c>
      <c r="Q9" s="18">
        <v>7</v>
      </c>
      <c r="R9" s="18">
        <v>19</v>
      </c>
      <c r="S9" s="18">
        <v>16</v>
      </c>
      <c r="T9" s="18">
        <v>32</v>
      </c>
      <c r="U9" s="18">
        <v>25</v>
      </c>
      <c r="V9" s="18">
        <v>22</v>
      </c>
      <c r="W9" s="18">
        <v>23</v>
      </c>
      <c r="X9" s="18">
        <v>9</v>
      </c>
      <c r="Y9" s="18">
        <v>4</v>
      </c>
      <c r="Z9" s="18">
        <v>7</v>
      </c>
      <c r="AA9" s="18">
        <v>0</v>
      </c>
      <c r="AB9" s="37">
        <f t="shared" si="4"/>
        <v>13.12700000000001</v>
      </c>
      <c r="AC9" s="37">
        <f t="shared" si="5"/>
        <v>10.300000000000011</v>
      </c>
      <c r="AD9" s="34"/>
    </row>
    <row r="10" spans="1:35" ht="15" customHeight="1">
      <c r="A10" s="13">
        <v>8</v>
      </c>
      <c r="B10" s="40"/>
      <c r="C10" s="13" t="s">
        <v>46</v>
      </c>
      <c r="D10" s="13"/>
      <c r="E10" s="20" t="s">
        <v>56</v>
      </c>
      <c r="F10" s="13">
        <v>169</v>
      </c>
      <c r="G10" s="22">
        <f t="shared" si="0"/>
        <v>153.959</v>
      </c>
      <c r="H10" s="22">
        <f t="shared" si="1"/>
        <v>152.1</v>
      </c>
      <c r="I10" s="17">
        <f t="shared" si="2"/>
        <v>142</v>
      </c>
      <c r="J10" s="30">
        <f t="shared" si="3"/>
        <v>0.84023668639053251</v>
      </c>
      <c r="K10" s="18">
        <v>0</v>
      </c>
      <c r="L10" s="18">
        <v>11</v>
      </c>
      <c r="M10" s="18">
        <v>30</v>
      </c>
      <c r="N10" s="18">
        <v>0</v>
      </c>
      <c r="O10" s="18">
        <v>7</v>
      </c>
      <c r="P10" s="18">
        <v>8</v>
      </c>
      <c r="Q10" s="18">
        <v>1</v>
      </c>
      <c r="R10" s="18">
        <v>7</v>
      </c>
      <c r="S10" s="18">
        <v>19</v>
      </c>
      <c r="T10" s="18">
        <v>13</v>
      </c>
      <c r="U10" s="18">
        <v>3</v>
      </c>
      <c r="V10" s="18">
        <v>32</v>
      </c>
      <c r="W10" s="18">
        <v>4</v>
      </c>
      <c r="X10" s="18">
        <v>3</v>
      </c>
      <c r="Y10" s="18">
        <v>2</v>
      </c>
      <c r="Z10" s="18">
        <v>2</v>
      </c>
      <c r="AA10" s="18">
        <v>0</v>
      </c>
      <c r="AB10" s="37">
        <f t="shared" si="4"/>
        <v>11.959000000000003</v>
      </c>
      <c r="AC10" s="37">
        <f t="shared" si="5"/>
        <v>10.099999999999994</v>
      </c>
      <c r="AD10" s="34"/>
    </row>
    <row r="11" spans="1:35" ht="15" customHeight="1">
      <c r="A11" s="13">
        <v>9</v>
      </c>
      <c r="B11" s="40"/>
      <c r="C11" s="13" t="s">
        <v>46</v>
      </c>
      <c r="D11" s="13"/>
      <c r="E11" s="20" t="s">
        <v>57</v>
      </c>
      <c r="F11" s="13">
        <v>217</v>
      </c>
      <c r="G11" s="22">
        <f t="shared" si="0"/>
        <v>197.68700000000001</v>
      </c>
      <c r="H11" s="22">
        <f t="shared" si="1"/>
        <v>195.3</v>
      </c>
      <c r="I11" s="17">
        <f t="shared" si="2"/>
        <v>205</v>
      </c>
      <c r="J11" s="30">
        <f t="shared" si="3"/>
        <v>0.9447004608294931</v>
      </c>
      <c r="K11" s="18">
        <v>2</v>
      </c>
      <c r="L11" s="18">
        <v>0</v>
      </c>
      <c r="M11" s="18">
        <v>1</v>
      </c>
      <c r="N11" s="18">
        <v>27</v>
      </c>
      <c r="O11" s="18">
        <v>29</v>
      </c>
      <c r="P11" s="18">
        <v>7</v>
      </c>
      <c r="Q11" s="18">
        <v>30</v>
      </c>
      <c r="R11" s="18">
        <v>27</v>
      </c>
      <c r="S11" s="18">
        <v>9</v>
      </c>
      <c r="T11" s="18">
        <v>17</v>
      </c>
      <c r="U11" s="18">
        <v>20</v>
      </c>
      <c r="V11" s="18">
        <v>20</v>
      </c>
      <c r="W11" s="18">
        <v>6</v>
      </c>
      <c r="X11" s="18">
        <v>9</v>
      </c>
      <c r="Y11" s="18">
        <v>1</v>
      </c>
      <c r="Z11" s="18">
        <v>0</v>
      </c>
      <c r="AA11" s="18">
        <v>0</v>
      </c>
      <c r="AB11" s="37">
        <f t="shared" si="4"/>
        <v>-7.3129999999999882</v>
      </c>
      <c r="AC11" s="37">
        <f t="shared" si="5"/>
        <v>-9.6999999999999886</v>
      </c>
      <c r="AD11" s="34"/>
    </row>
    <row r="12" spans="1:35" ht="15" customHeight="1">
      <c r="A12" s="13">
        <v>10</v>
      </c>
      <c r="B12" s="40"/>
      <c r="C12" s="13" t="s">
        <v>46</v>
      </c>
      <c r="D12" s="13"/>
      <c r="E12" s="20" t="s">
        <v>58</v>
      </c>
      <c r="F12" s="13">
        <v>292</v>
      </c>
      <c r="G12" s="22">
        <f t="shared" si="0"/>
        <v>266.012</v>
      </c>
      <c r="H12" s="22">
        <f t="shared" si="1"/>
        <v>262.8</v>
      </c>
      <c r="I12" s="17">
        <f t="shared" si="2"/>
        <v>235</v>
      </c>
      <c r="J12" s="30">
        <f t="shared" si="3"/>
        <v>0.8047945205479452</v>
      </c>
      <c r="K12" s="18">
        <v>2</v>
      </c>
      <c r="L12" s="18">
        <v>32</v>
      </c>
      <c r="M12" s="18">
        <v>25</v>
      </c>
      <c r="N12" s="18">
        <v>4</v>
      </c>
      <c r="O12" s="18">
        <v>29</v>
      </c>
      <c r="P12" s="18">
        <v>6</v>
      </c>
      <c r="Q12" s="18">
        <v>9</v>
      </c>
      <c r="R12" s="18">
        <v>18</v>
      </c>
      <c r="S12" s="18">
        <v>18</v>
      </c>
      <c r="T12" s="18">
        <v>23</v>
      </c>
      <c r="U12" s="18">
        <v>4</v>
      </c>
      <c r="V12" s="18">
        <v>19</v>
      </c>
      <c r="W12" s="18">
        <v>12</v>
      </c>
      <c r="X12" s="18">
        <v>29</v>
      </c>
      <c r="Y12" s="18">
        <v>3</v>
      </c>
      <c r="Z12" s="18">
        <v>2</v>
      </c>
      <c r="AA12" s="18">
        <v>0</v>
      </c>
      <c r="AB12" s="37">
        <f t="shared" si="4"/>
        <v>31.012</v>
      </c>
      <c r="AC12" s="37">
        <f t="shared" si="5"/>
        <v>27.800000000000011</v>
      </c>
      <c r="AD12" s="34"/>
    </row>
    <row r="13" spans="1:35" ht="15" customHeight="1">
      <c r="A13" s="13">
        <v>11</v>
      </c>
      <c r="B13" s="40"/>
      <c r="C13" s="13" t="s">
        <v>46</v>
      </c>
      <c r="D13" s="13"/>
      <c r="E13" s="20" t="s">
        <v>59</v>
      </c>
      <c r="F13" s="13">
        <v>251</v>
      </c>
      <c r="G13" s="22">
        <f t="shared" si="0"/>
        <v>228.661</v>
      </c>
      <c r="H13" s="22">
        <f t="shared" si="1"/>
        <v>225.9</v>
      </c>
      <c r="I13" s="17">
        <f t="shared" si="2"/>
        <v>205</v>
      </c>
      <c r="J13" s="30">
        <f t="shared" si="3"/>
        <v>0.81673306772908372</v>
      </c>
      <c r="K13" s="18">
        <v>1</v>
      </c>
      <c r="L13" s="18">
        <v>17</v>
      </c>
      <c r="M13" s="18">
        <v>31</v>
      </c>
      <c r="N13" s="18">
        <v>26</v>
      </c>
      <c r="O13" s="18">
        <v>4</v>
      </c>
      <c r="P13" s="18">
        <v>3</v>
      </c>
      <c r="Q13" s="18">
        <v>0</v>
      </c>
      <c r="R13" s="18">
        <v>6</v>
      </c>
      <c r="S13" s="18">
        <v>31</v>
      </c>
      <c r="T13" s="18">
        <v>23</v>
      </c>
      <c r="U13" s="18">
        <v>13</v>
      </c>
      <c r="V13" s="18">
        <v>19</v>
      </c>
      <c r="W13" s="18">
        <v>13</v>
      </c>
      <c r="X13" s="18">
        <v>4</v>
      </c>
      <c r="Y13" s="18">
        <v>7</v>
      </c>
      <c r="Z13" s="18">
        <v>7</v>
      </c>
      <c r="AA13" s="18">
        <v>0</v>
      </c>
      <c r="AB13" s="37">
        <f t="shared" si="4"/>
        <v>23.661000000000001</v>
      </c>
      <c r="AC13" s="37">
        <f t="shared" si="5"/>
        <v>20.900000000000006</v>
      </c>
      <c r="AD13" s="34"/>
    </row>
    <row r="14" spans="1:35" ht="15" customHeight="1">
      <c r="A14" s="13">
        <v>12</v>
      </c>
      <c r="B14" s="40"/>
      <c r="C14" s="13" t="s">
        <v>46</v>
      </c>
      <c r="D14" s="13"/>
      <c r="E14" s="20" t="s">
        <v>60</v>
      </c>
      <c r="F14" s="13">
        <v>268</v>
      </c>
      <c r="G14" s="22">
        <f t="shared" si="0"/>
        <v>244.148</v>
      </c>
      <c r="H14" s="22">
        <f t="shared" si="1"/>
        <v>241.20000000000002</v>
      </c>
      <c r="I14" s="17">
        <f t="shared" si="2"/>
        <v>254</v>
      </c>
      <c r="J14" s="30">
        <f t="shared" si="3"/>
        <v>0.94776119402985071</v>
      </c>
      <c r="K14" s="18">
        <v>0</v>
      </c>
      <c r="L14" s="18">
        <v>11</v>
      </c>
      <c r="M14" s="18">
        <v>17</v>
      </c>
      <c r="N14" s="18">
        <v>20</v>
      </c>
      <c r="O14" s="18">
        <v>31</v>
      </c>
      <c r="P14" s="18">
        <v>27</v>
      </c>
      <c r="Q14" s="18">
        <v>24</v>
      </c>
      <c r="R14" s="18">
        <v>9</v>
      </c>
      <c r="S14" s="18">
        <v>11</v>
      </c>
      <c r="T14" s="18">
        <v>17</v>
      </c>
      <c r="U14" s="18">
        <v>26</v>
      </c>
      <c r="V14" s="18">
        <v>8</v>
      </c>
      <c r="W14" s="18">
        <v>29</v>
      </c>
      <c r="X14" s="18">
        <v>21</v>
      </c>
      <c r="Y14" s="18">
        <v>1</v>
      </c>
      <c r="Z14" s="18">
        <v>2</v>
      </c>
      <c r="AA14" s="18">
        <v>0</v>
      </c>
      <c r="AB14" s="37">
        <f t="shared" si="4"/>
        <v>-9.8520000000000039</v>
      </c>
      <c r="AC14" s="37">
        <f t="shared" si="5"/>
        <v>-12.799999999999983</v>
      </c>
      <c r="AD14" s="34"/>
    </row>
    <row r="15" spans="1:35" ht="15" customHeight="1">
      <c r="A15" s="13">
        <v>13</v>
      </c>
      <c r="B15" s="40"/>
      <c r="C15" s="13" t="s">
        <v>46</v>
      </c>
      <c r="D15" s="13"/>
      <c r="E15" s="20" t="s">
        <v>61</v>
      </c>
      <c r="F15" s="13">
        <v>321</v>
      </c>
      <c r="G15" s="22">
        <f t="shared" si="0"/>
        <v>292.43099999999998</v>
      </c>
      <c r="H15" s="22">
        <f t="shared" si="1"/>
        <v>288.90000000000003</v>
      </c>
      <c r="I15" s="17">
        <f t="shared" si="2"/>
        <v>285</v>
      </c>
      <c r="J15" s="30">
        <f t="shared" si="3"/>
        <v>0.88785046728971961</v>
      </c>
      <c r="K15" s="18">
        <v>2</v>
      </c>
      <c r="L15" s="18">
        <v>21</v>
      </c>
      <c r="M15" s="18">
        <v>2</v>
      </c>
      <c r="N15" s="18">
        <v>13</v>
      </c>
      <c r="O15" s="18">
        <v>26</v>
      </c>
      <c r="P15" s="18">
        <v>29</v>
      </c>
      <c r="Q15" s="18">
        <v>25</v>
      </c>
      <c r="R15" s="18">
        <v>31</v>
      </c>
      <c r="S15" s="18">
        <v>31</v>
      </c>
      <c r="T15" s="18">
        <v>15</v>
      </c>
      <c r="U15" s="18">
        <v>29</v>
      </c>
      <c r="V15" s="18">
        <v>31</v>
      </c>
      <c r="W15" s="18">
        <v>5</v>
      </c>
      <c r="X15" s="18">
        <v>19</v>
      </c>
      <c r="Y15" s="18">
        <v>1</v>
      </c>
      <c r="Z15" s="18">
        <v>5</v>
      </c>
      <c r="AA15" s="18">
        <v>0</v>
      </c>
      <c r="AB15" s="37">
        <f t="shared" si="4"/>
        <v>7.4309999999999832</v>
      </c>
      <c r="AC15" s="37">
        <f t="shared" si="5"/>
        <v>3.9000000000000341</v>
      </c>
      <c r="AD15" s="34"/>
    </row>
    <row r="16" spans="1:35" ht="15" customHeight="1">
      <c r="A16" s="13">
        <v>14</v>
      </c>
      <c r="B16" s="40"/>
      <c r="C16" s="13" t="s">
        <v>46</v>
      </c>
      <c r="D16" s="13"/>
      <c r="E16" s="20" t="s">
        <v>62</v>
      </c>
      <c r="F16" s="13">
        <v>199</v>
      </c>
      <c r="G16" s="22">
        <f t="shared" si="0"/>
        <v>181.28899999999999</v>
      </c>
      <c r="H16" s="22">
        <f t="shared" si="1"/>
        <v>179.1</v>
      </c>
      <c r="I16" s="17">
        <f t="shared" si="2"/>
        <v>191</v>
      </c>
      <c r="J16" s="30">
        <f t="shared" si="3"/>
        <v>0.95979899497487442</v>
      </c>
      <c r="K16" s="18">
        <v>2</v>
      </c>
      <c r="L16" s="18">
        <v>3</v>
      </c>
      <c r="M16" s="18">
        <v>26</v>
      </c>
      <c r="N16" s="18">
        <v>11</v>
      </c>
      <c r="O16" s="18">
        <v>17</v>
      </c>
      <c r="P16" s="18">
        <v>23</v>
      </c>
      <c r="Q16" s="18">
        <v>6</v>
      </c>
      <c r="R16" s="18">
        <v>17</v>
      </c>
      <c r="S16" s="18">
        <v>26</v>
      </c>
      <c r="T16" s="18">
        <v>19</v>
      </c>
      <c r="U16" s="18">
        <v>6</v>
      </c>
      <c r="V16" s="18">
        <v>30</v>
      </c>
      <c r="W16" s="18">
        <v>1</v>
      </c>
      <c r="X16" s="18">
        <v>1</v>
      </c>
      <c r="Y16" s="18">
        <v>1</v>
      </c>
      <c r="Z16" s="18">
        <v>2</v>
      </c>
      <c r="AA16" s="18">
        <v>0</v>
      </c>
      <c r="AB16" s="37">
        <f t="shared" si="4"/>
        <v>-9.7110000000000127</v>
      </c>
      <c r="AC16" s="37">
        <f t="shared" si="5"/>
        <v>-11.900000000000006</v>
      </c>
      <c r="AD16" s="34"/>
    </row>
    <row r="17" spans="1:30" ht="15" customHeight="1">
      <c r="A17" s="13">
        <v>15</v>
      </c>
      <c r="B17" s="40"/>
      <c r="C17" s="13" t="s">
        <v>46</v>
      </c>
      <c r="D17" s="13"/>
      <c r="E17" s="20" t="s">
        <v>63</v>
      </c>
      <c r="F17" s="13">
        <v>273</v>
      </c>
      <c r="G17" s="22">
        <f t="shared" si="0"/>
        <v>248.703</v>
      </c>
      <c r="H17" s="22">
        <f t="shared" si="1"/>
        <v>245.70000000000002</v>
      </c>
      <c r="I17" s="17">
        <f t="shared" si="2"/>
        <v>249</v>
      </c>
      <c r="J17" s="30">
        <f t="shared" si="3"/>
        <v>0.91208791208791207</v>
      </c>
      <c r="K17" s="18">
        <v>0</v>
      </c>
      <c r="L17" s="18">
        <v>8</v>
      </c>
      <c r="M17" s="18">
        <v>29</v>
      </c>
      <c r="N17" s="18">
        <v>15</v>
      </c>
      <c r="O17" s="18">
        <v>12</v>
      </c>
      <c r="P17" s="18">
        <v>14</v>
      </c>
      <c r="Q17" s="18">
        <v>25</v>
      </c>
      <c r="R17" s="18">
        <v>21</v>
      </c>
      <c r="S17" s="18">
        <v>32</v>
      </c>
      <c r="T17" s="18">
        <v>11</v>
      </c>
      <c r="U17" s="18">
        <v>28</v>
      </c>
      <c r="V17" s="18">
        <v>10</v>
      </c>
      <c r="W17" s="18">
        <v>6</v>
      </c>
      <c r="X17" s="18">
        <v>30</v>
      </c>
      <c r="Y17" s="18">
        <v>4</v>
      </c>
      <c r="Z17" s="18">
        <v>4</v>
      </c>
      <c r="AA17" s="18">
        <v>0</v>
      </c>
      <c r="AB17" s="37">
        <f t="shared" si="4"/>
        <v>-0.29699999999999704</v>
      </c>
      <c r="AC17" s="37">
        <f t="shared" si="5"/>
        <v>-3.2999999999999829</v>
      </c>
      <c r="AD17" s="34"/>
    </row>
    <row r="18" spans="1:30" ht="15" customHeight="1">
      <c r="A18" s="13">
        <v>16</v>
      </c>
      <c r="B18" s="40"/>
      <c r="C18" s="13" t="s">
        <v>46</v>
      </c>
      <c r="D18" s="13"/>
      <c r="E18" s="20" t="s">
        <v>64</v>
      </c>
      <c r="F18" s="13">
        <v>282</v>
      </c>
      <c r="G18" s="22">
        <f t="shared" si="0"/>
        <v>256.90199999999999</v>
      </c>
      <c r="H18" s="22">
        <f t="shared" si="1"/>
        <v>253.8</v>
      </c>
      <c r="I18" s="17">
        <f t="shared" si="2"/>
        <v>226</v>
      </c>
      <c r="J18" s="30">
        <f t="shared" si="3"/>
        <v>0.8014184397163121</v>
      </c>
      <c r="K18" s="18">
        <v>2</v>
      </c>
      <c r="L18" s="18">
        <v>2</v>
      </c>
      <c r="M18" s="18">
        <v>15</v>
      </c>
      <c r="N18" s="18">
        <v>29</v>
      </c>
      <c r="O18" s="18">
        <v>10</v>
      </c>
      <c r="P18" s="18">
        <v>30</v>
      </c>
      <c r="Q18" s="18">
        <v>29</v>
      </c>
      <c r="R18" s="18">
        <v>29</v>
      </c>
      <c r="S18" s="18">
        <v>0</v>
      </c>
      <c r="T18" s="18">
        <v>9</v>
      </c>
      <c r="U18" s="18">
        <v>19</v>
      </c>
      <c r="V18" s="18">
        <v>0</v>
      </c>
      <c r="W18" s="18">
        <v>29</v>
      </c>
      <c r="X18" s="18">
        <v>13</v>
      </c>
      <c r="Y18" s="18">
        <v>5</v>
      </c>
      <c r="Z18" s="18">
        <v>5</v>
      </c>
      <c r="AA18" s="18">
        <v>0</v>
      </c>
      <c r="AB18" s="37">
        <f t="shared" si="4"/>
        <v>30.901999999999987</v>
      </c>
      <c r="AC18" s="37">
        <f t="shared" si="5"/>
        <v>27.800000000000011</v>
      </c>
      <c r="AD18" s="34"/>
    </row>
    <row r="19" spans="1:30" ht="15" customHeight="1">
      <c r="A19" s="13">
        <v>17</v>
      </c>
      <c r="B19" s="40"/>
      <c r="C19" s="13" t="s">
        <v>46</v>
      </c>
      <c r="D19" s="13"/>
      <c r="E19" s="20" t="s">
        <v>65</v>
      </c>
      <c r="F19" s="13">
        <v>238</v>
      </c>
      <c r="G19" s="22">
        <f t="shared" si="0"/>
        <v>216.81800000000001</v>
      </c>
      <c r="H19" s="22">
        <f t="shared" si="1"/>
        <v>214.20000000000002</v>
      </c>
      <c r="I19" s="17">
        <f t="shared" si="2"/>
        <v>204</v>
      </c>
      <c r="J19" s="30">
        <f t="shared" si="3"/>
        <v>0.8571428571428571</v>
      </c>
      <c r="K19" s="18">
        <v>0</v>
      </c>
      <c r="L19" s="18">
        <v>31</v>
      </c>
      <c r="M19" s="18">
        <v>24</v>
      </c>
      <c r="N19" s="18">
        <v>1</v>
      </c>
      <c r="O19" s="18">
        <v>11</v>
      </c>
      <c r="P19" s="18">
        <v>21</v>
      </c>
      <c r="Q19" s="18">
        <v>1</v>
      </c>
      <c r="R19" s="18">
        <v>22</v>
      </c>
      <c r="S19" s="18">
        <v>17</v>
      </c>
      <c r="T19" s="18">
        <v>12</v>
      </c>
      <c r="U19" s="18">
        <v>11</v>
      </c>
      <c r="V19" s="18">
        <v>7</v>
      </c>
      <c r="W19" s="18">
        <v>19</v>
      </c>
      <c r="X19" s="18">
        <v>21</v>
      </c>
      <c r="Y19" s="18">
        <v>4</v>
      </c>
      <c r="Z19" s="18">
        <v>2</v>
      </c>
      <c r="AA19" s="18">
        <v>0</v>
      </c>
      <c r="AB19" s="37">
        <f t="shared" si="4"/>
        <v>12.818000000000012</v>
      </c>
      <c r="AC19" s="37">
        <f t="shared" si="5"/>
        <v>10.200000000000017</v>
      </c>
      <c r="AD19" s="34"/>
    </row>
    <row r="20" spans="1:30" ht="16.899999999999999" customHeight="1">
      <c r="A20" s="13">
        <v>18</v>
      </c>
      <c r="B20" s="40"/>
      <c r="C20" s="13" t="s">
        <v>46</v>
      </c>
      <c r="D20" s="13"/>
      <c r="E20" s="20" t="s">
        <v>66</v>
      </c>
      <c r="F20" s="13">
        <v>194</v>
      </c>
      <c r="G20" s="22">
        <f t="shared" si="0"/>
        <v>176.73400000000001</v>
      </c>
      <c r="H20" s="22">
        <f t="shared" si="1"/>
        <v>174.6</v>
      </c>
      <c r="I20" s="17">
        <f t="shared" si="2"/>
        <v>185</v>
      </c>
      <c r="J20" s="30">
        <f t="shared" si="3"/>
        <v>0.95360824742268047</v>
      </c>
      <c r="K20" s="18">
        <v>0</v>
      </c>
      <c r="L20" s="18">
        <v>4</v>
      </c>
      <c r="M20" s="18">
        <v>27</v>
      </c>
      <c r="N20" s="18">
        <v>9</v>
      </c>
      <c r="O20" s="18">
        <v>32</v>
      </c>
      <c r="P20" s="18">
        <v>11</v>
      </c>
      <c r="Q20" s="18">
        <v>0</v>
      </c>
      <c r="R20" s="18">
        <v>19</v>
      </c>
      <c r="S20" s="18">
        <v>11</v>
      </c>
      <c r="T20" s="18">
        <v>5</v>
      </c>
      <c r="U20" s="18">
        <v>6</v>
      </c>
      <c r="V20" s="18">
        <v>21</v>
      </c>
      <c r="W20" s="18">
        <v>3</v>
      </c>
      <c r="X20" s="18">
        <v>31</v>
      </c>
      <c r="Y20" s="18">
        <v>1</v>
      </c>
      <c r="Z20" s="18">
        <v>5</v>
      </c>
      <c r="AA20" s="18">
        <v>0</v>
      </c>
      <c r="AB20" s="37">
        <f t="shared" si="4"/>
        <v>-8.2659999999999911</v>
      </c>
      <c r="AC20" s="37">
        <f t="shared" si="5"/>
        <v>-10.400000000000006</v>
      </c>
      <c r="AD20" s="34"/>
    </row>
    <row r="21" spans="1:30" ht="15" customHeight="1">
      <c r="A21" s="13">
        <v>19</v>
      </c>
      <c r="B21" s="40"/>
      <c r="C21" s="13" t="s">
        <v>46</v>
      </c>
      <c r="D21" s="13"/>
      <c r="E21" s="20" t="s">
        <v>67</v>
      </c>
      <c r="F21" s="13">
        <v>256</v>
      </c>
      <c r="G21" s="22">
        <f t="shared" si="0"/>
        <v>233.21600000000001</v>
      </c>
      <c r="H21" s="22">
        <f t="shared" si="1"/>
        <v>230.4</v>
      </c>
      <c r="I21" s="17">
        <f t="shared" si="2"/>
        <v>243</v>
      </c>
      <c r="J21" s="30">
        <f t="shared" si="3"/>
        <v>0.94921875</v>
      </c>
      <c r="K21" s="18">
        <v>1</v>
      </c>
      <c r="L21" s="18">
        <v>21</v>
      </c>
      <c r="M21" s="18">
        <v>28</v>
      </c>
      <c r="N21" s="18">
        <v>11</v>
      </c>
      <c r="O21" s="18">
        <v>20</v>
      </c>
      <c r="P21" s="18">
        <v>13</v>
      </c>
      <c r="Q21" s="18">
        <v>14</v>
      </c>
      <c r="R21" s="18">
        <v>6</v>
      </c>
      <c r="S21" s="18">
        <v>26</v>
      </c>
      <c r="T21" s="18">
        <v>18</v>
      </c>
      <c r="U21" s="18">
        <v>17</v>
      </c>
      <c r="V21" s="18">
        <v>22</v>
      </c>
      <c r="W21" s="18">
        <v>13</v>
      </c>
      <c r="X21" s="18">
        <v>21</v>
      </c>
      <c r="Y21" s="18">
        <v>7</v>
      </c>
      <c r="Z21" s="18">
        <v>5</v>
      </c>
      <c r="AA21" s="18">
        <v>0</v>
      </c>
      <c r="AB21" s="37">
        <f t="shared" si="4"/>
        <v>-9.7839999999999918</v>
      </c>
      <c r="AC21" s="37">
        <f t="shared" si="5"/>
        <v>-12.599999999999994</v>
      </c>
      <c r="AD21" s="34"/>
    </row>
    <row r="22" spans="1:30" ht="15" customHeight="1">
      <c r="A22" s="13">
        <v>20</v>
      </c>
      <c r="B22" s="40"/>
      <c r="C22" s="13" t="s">
        <v>46</v>
      </c>
      <c r="D22" s="13"/>
      <c r="E22" s="20" t="s">
        <v>68</v>
      </c>
      <c r="F22" s="13">
        <v>264</v>
      </c>
      <c r="G22" s="22">
        <f t="shared" si="0"/>
        <v>240.50399999999999</v>
      </c>
      <c r="H22" s="22">
        <f t="shared" si="1"/>
        <v>237.6</v>
      </c>
      <c r="I22" s="17">
        <f t="shared" si="2"/>
        <v>240</v>
      </c>
      <c r="J22" s="30">
        <f t="shared" si="3"/>
        <v>0.90909090909090906</v>
      </c>
      <c r="K22" s="18">
        <v>0</v>
      </c>
      <c r="L22" s="18">
        <v>17</v>
      </c>
      <c r="M22" s="18">
        <v>26</v>
      </c>
      <c r="N22" s="18">
        <v>22</v>
      </c>
      <c r="O22" s="18">
        <v>10</v>
      </c>
      <c r="P22" s="18">
        <v>19</v>
      </c>
      <c r="Q22" s="18">
        <v>24</v>
      </c>
      <c r="R22" s="18">
        <v>14</v>
      </c>
      <c r="S22" s="18">
        <v>32</v>
      </c>
      <c r="T22" s="18">
        <v>16</v>
      </c>
      <c r="U22" s="18">
        <v>28</v>
      </c>
      <c r="V22" s="18">
        <v>1</v>
      </c>
      <c r="W22" s="18">
        <v>13</v>
      </c>
      <c r="X22" s="18">
        <v>13</v>
      </c>
      <c r="Y22" s="18">
        <v>1</v>
      </c>
      <c r="Z22" s="18">
        <v>4</v>
      </c>
      <c r="AA22" s="18">
        <v>0</v>
      </c>
      <c r="AB22" s="37">
        <f t="shared" si="4"/>
        <v>0.50399999999999068</v>
      </c>
      <c r="AC22" s="37">
        <f t="shared" si="5"/>
        <v>-2.4000000000000057</v>
      </c>
      <c r="AD22" s="34"/>
    </row>
    <row r="23" spans="1:30" ht="15" customHeight="1">
      <c r="A23" s="13">
        <v>21</v>
      </c>
      <c r="B23" s="40"/>
      <c r="C23" s="13" t="s">
        <v>46</v>
      </c>
      <c r="D23" s="13"/>
      <c r="E23" s="20" t="s">
        <v>69</v>
      </c>
      <c r="F23" s="13">
        <v>294</v>
      </c>
      <c r="G23" s="22">
        <f t="shared" si="0"/>
        <v>267.834</v>
      </c>
      <c r="H23" s="22">
        <f t="shared" si="1"/>
        <v>264.60000000000002</v>
      </c>
      <c r="I23" s="17">
        <f t="shared" si="2"/>
        <v>241</v>
      </c>
      <c r="J23" s="30">
        <f t="shared" si="3"/>
        <v>0.81972789115646261</v>
      </c>
      <c r="K23" s="18">
        <v>0</v>
      </c>
      <c r="L23" s="18">
        <v>31</v>
      </c>
      <c r="M23" s="18">
        <v>15</v>
      </c>
      <c r="N23" s="18">
        <v>10</v>
      </c>
      <c r="O23" s="18">
        <v>15</v>
      </c>
      <c r="P23" s="18">
        <v>23</v>
      </c>
      <c r="Q23" s="18">
        <v>13</v>
      </c>
      <c r="R23" s="18">
        <v>3</v>
      </c>
      <c r="S23" s="18">
        <v>6</v>
      </c>
      <c r="T23" s="18">
        <v>26</v>
      </c>
      <c r="U23" s="18">
        <v>15</v>
      </c>
      <c r="V23" s="18">
        <v>29</v>
      </c>
      <c r="W23" s="18">
        <v>31</v>
      </c>
      <c r="X23" s="18">
        <v>16</v>
      </c>
      <c r="Y23" s="18">
        <v>1</v>
      </c>
      <c r="Z23" s="18">
        <v>7</v>
      </c>
      <c r="AA23" s="18">
        <v>0</v>
      </c>
      <c r="AB23" s="37">
        <f t="shared" si="4"/>
        <v>26.834000000000003</v>
      </c>
      <c r="AC23" s="37">
        <f t="shared" si="5"/>
        <v>23.600000000000023</v>
      </c>
      <c r="AD23" s="34"/>
    </row>
    <row r="24" spans="1:30" ht="15" customHeight="1">
      <c r="A24" s="13">
        <v>22</v>
      </c>
      <c r="B24" s="40"/>
      <c r="C24" s="13" t="s">
        <v>46</v>
      </c>
      <c r="D24" s="13"/>
      <c r="E24" s="20" t="s">
        <v>70</v>
      </c>
      <c r="F24" s="13">
        <v>200</v>
      </c>
      <c r="G24" s="22">
        <f t="shared" si="0"/>
        <v>182.2</v>
      </c>
      <c r="H24" s="22">
        <f t="shared" si="1"/>
        <v>180</v>
      </c>
      <c r="I24" s="17">
        <f t="shared" si="2"/>
        <v>200</v>
      </c>
      <c r="J24" s="30">
        <f t="shared" si="3"/>
        <v>1</v>
      </c>
      <c r="K24" s="18">
        <v>1</v>
      </c>
      <c r="L24" s="18">
        <v>21</v>
      </c>
      <c r="M24" s="18">
        <v>27</v>
      </c>
      <c r="N24" s="18">
        <v>16</v>
      </c>
      <c r="O24" s="18">
        <v>10</v>
      </c>
      <c r="P24" s="18">
        <v>2</v>
      </c>
      <c r="Q24" s="18">
        <v>3</v>
      </c>
      <c r="R24" s="18">
        <v>29</v>
      </c>
      <c r="S24" s="18">
        <v>20</v>
      </c>
      <c r="T24" s="18">
        <v>30</v>
      </c>
      <c r="U24" s="18">
        <v>18</v>
      </c>
      <c r="V24" s="18">
        <v>5</v>
      </c>
      <c r="W24" s="18">
        <v>12</v>
      </c>
      <c r="X24" s="18">
        <v>4</v>
      </c>
      <c r="Y24" s="18">
        <v>2</v>
      </c>
      <c r="Z24" s="18">
        <v>0</v>
      </c>
      <c r="AA24" s="18">
        <v>0</v>
      </c>
      <c r="AB24" s="37">
        <f t="shared" si="4"/>
        <v>-17.800000000000011</v>
      </c>
      <c r="AC24" s="37">
        <f t="shared" si="5"/>
        <v>-20</v>
      </c>
      <c r="AD24" s="34"/>
    </row>
    <row r="25" spans="1:30" ht="15" customHeight="1">
      <c r="A25" s="13">
        <v>23</v>
      </c>
      <c r="B25" s="40"/>
      <c r="C25" s="13" t="s">
        <v>46</v>
      </c>
      <c r="D25" s="13"/>
      <c r="E25" s="20" t="s">
        <v>71</v>
      </c>
      <c r="F25" s="13">
        <v>210</v>
      </c>
      <c r="G25" s="22">
        <f t="shared" si="0"/>
        <v>191.31</v>
      </c>
      <c r="H25" s="22">
        <f t="shared" si="1"/>
        <v>189</v>
      </c>
      <c r="I25" s="17">
        <f t="shared" si="2"/>
        <v>186</v>
      </c>
      <c r="J25" s="30">
        <f t="shared" si="3"/>
        <v>0.88571428571428568</v>
      </c>
      <c r="K25" s="18">
        <v>1</v>
      </c>
      <c r="L25" s="18">
        <v>0</v>
      </c>
      <c r="M25" s="18">
        <v>7</v>
      </c>
      <c r="N25" s="18">
        <v>30</v>
      </c>
      <c r="O25" s="18">
        <v>27</v>
      </c>
      <c r="P25" s="18">
        <v>27</v>
      </c>
      <c r="Q25" s="18">
        <v>13</v>
      </c>
      <c r="R25" s="18">
        <v>19</v>
      </c>
      <c r="S25" s="18">
        <v>4</v>
      </c>
      <c r="T25" s="18">
        <v>26</v>
      </c>
      <c r="U25" s="18">
        <v>9</v>
      </c>
      <c r="V25" s="18">
        <v>17</v>
      </c>
      <c r="W25" s="18">
        <v>1</v>
      </c>
      <c r="X25" s="18">
        <v>0</v>
      </c>
      <c r="Y25" s="18">
        <v>5</v>
      </c>
      <c r="Z25" s="18">
        <v>0</v>
      </c>
      <c r="AA25" s="18">
        <v>0</v>
      </c>
      <c r="AB25" s="37">
        <f t="shared" si="4"/>
        <v>5.3100000000000023</v>
      </c>
      <c r="AC25" s="37">
        <f t="shared" si="5"/>
        <v>3</v>
      </c>
      <c r="AD25" s="34"/>
    </row>
    <row r="26" spans="1:30" ht="15.75" customHeight="1">
      <c r="A26" s="13">
        <v>24</v>
      </c>
      <c r="B26" s="40"/>
      <c r="C26" s="13" t="s">
        <v>46</v>
      </c>
      <c r="D26" s="13"/>
      <c r="E26" s="20" t="s">
        <v>72</v>
      </c>
      <c r="F26" s="13">
        <v>384</v>
      </c>
      <c r="G26" s="22">
        <f t="shared" si="0"/>
        <v>349.82400000000001</v>
      </c>
      <c r="H26" s="22">
        <f t="shared" si="1"/>
        <v>345.6</v>
      </c>
      <c r="I26" s="17">
        <f t="shared" si="2"/>
        <v>311</v>
      </c>
      <c r="J26" s="30">
        <f t="shared" si="3"/>
        <v>0.80989583333333337</v>
      </c>
      <c r="K26" s="18">
        <v>2</v>
      </c>
      <c r="L26" s="18">
        <v>17</v>
      </c>
      <c r="M26" s="18">
        <v>23</v>
      </c>
      <c r="N26" s="18">
        <v>29</v>
      </c>
      <c r="O26" s="18">
        <v>22</v>
      </c>
      <c r="P26" s="18">
        <v>29</v>
      </c>
      <c r="Q26" s="18">
        <v>11</v>
      </c>
      <c r="R26" s="18">
        <v>13</v>
      </c>
      <c r="S26" s="18">
        <v>28</v>
      </c>
      <c r="T26" s="18">
        <v>26</v>
      </c>
      <c r="U26" s="18">
        <v>27</v>
      </c>
      <c r="V26" s="18">
        <v>31</v>
      </c>
      <c r="W26" s="18">
        <v>26</v>
      </c>
      <c r="X26" s="18">
        <v>21</v>
      </c>
      <c r="Y26" s="18">
        <v>0</v>
      </c>
      <c r="Z26" s="18">
        <v>6</v>
      </c>
      <c r="AA26" s="18">
        <v>0</v>
      </c>
      <c r="AB26" s="37">
        <f t="shared" si="4"/>
        <v>38.824000000000012</v>
      </c>
      <c r="AC26" s="37">
        <f t="shared" si="5"/>
        <v>34.600000000000023</v>
      </c>
      <c r="AD26" s="34"/>
    </row>
    <row r="27" spans="1:30" ht="15.75" customHeight="1">
      <c r="A27" s="13">
        <v>25</v>
      </c>
      <c r="B27" s="40"/>
      <c r="C27" s="13" t="s">
        <v>46</v>
      </c>
      <c r="D27" s="13"/>
      <c r="E27" s="20" t="s">
        <v>73</v>
      </c>
      <c r="F27" s="13">
        <v>320</v>
      </c>
      <c r="G27" s="22">
        <f t="shared" si="0"/>
        <v>291.52</v>
      </c>
      <c r="H27" s="22">
        <f t="shared" si="1"/>
        <v>288</v>
      </c>
      <c r="I27" s="17">
        <f t="shared" si="2"/>
        <v>264</v>
      </c>
      <c r="J27" s="30">
        <f t="shared" si="3"/>
        <v>0.82499999999999996</v>
      </c>
      <c r="K27" s="18">
        <v>2</v>
      </c>
      <c r="L27" s="18">
        <v>6</v>
      </c>
      <c r="M27" s="18">
        <v>23</v>
      </c>
      <c r="N27" s="18">
        <v>31</v>
      </c>
      <c r="O27" s="18">
        <v>26</v>
      </c>
      <c r="P27" s="18">
        <v>26</v>
      </c>
      <c r="Q27" s="18">
        <v>14</v>
      </c>
      <c r="R27" s="18">
        <v>29</v>
      </c>
      <c r="S27" s="18">
        <v>6</v>
      </c>
      <c r="T27" s="18">
        <v>8</v>
      </c>
      <c r="U27" s="18">
        <v>27</v>
      </c>
      <c r="V27" s="18">
        <v>11</v>
      </c>
      <c r="W27" s="18">
        <v>18</v>
      </c>
      <c r="X27" s="18">
        <v>30</v>
      </c>
      <c r="Y27" s="18">
        <v>7</v>
      </c>
      <c r="Z27" s="18">
        <v>0</v>
      </c>
      <c r="AA27" s="18">
        <v>0</v>
      </c>
      <c r="AB27" s="37">
        <f t="shared" si="4"/>
        <v>27.519999999999982</v>
      </c>
      <c r="AC27" s="37">
        <f t="shared" si="5"/>
        <v>24</v>
      </c>
      <c r="AD27" s="34"/>
    </row>
    <row r="28" spans="1:30" ht="15.75" customHeight="1">
      <c r="A28" s="13">
        <v>26</v>
      </c>
      <c r="B28" s="40"/>
      <c r="C28" s="13" t="s">
        <v>46</v>
      </c>
      <c r="D28" s="13"/>
      <c r="E28" s="20" t="s">
        <v>74</v>
      </c>
      <c r="F28" s="13">
        <v>222</v>
      </c>
      <c r="G28" s="22">
        <f t="shared" si="0"/>
        <v>202.24199999999999</v>
      </c>
      <c r="H28" s="22">
        <f>F28*90%</f>
        <v>199.8</v>
      </c>
      <c r="I28" s="17">
        <f>SUM(K28:AA28)</f>
        <v>216</v>
      </c>
      <c r="J28" s="30">
        <f>I28/F28</f>
        <v>0.97297297297297303</v>
      </c>
      <c r="K28" s="18">
        <v>1</v>
      </c>
      <c r="L28" s="18">
        <v>28</v>
      </c>
      <c r="M28" s="18">
        <v>12</v>
      </c>
      <c r="N28" s="18">
        <v>3</v>
      </c>
      <c r="O28" s="18">
        <v>32</v>
      </c>
      <c r="P28" s="18">
        <v>4</v>
      </c>
      <c r="Q28" s="18">
        <v>29</v>
      </c>
      <c r="R28" s="18">
        <v>16</v>
      </c>
      <c r="S28" s="18">
        <v>31</v>
      </c>
      <c r="T28" s="18">
        <v>1</v>
      </c>
      <c r="U28" s="18">
        <v>18</v>
      </c>
      <c r="V28" s="18">
        <v>21</v>
      </c>
      <c r="W28" s="18">
        <v>10</v>
      </c>
      <c r="X28" s="18">
        <v>4</v>
      </c>
      <c r="Y28" s="18">
        <v>1</v>
      </c>
      <c r="Z28" s="18">
        <v>5</v>
      </c>
      <c r="AA28" s="18">
        <v>0</v>
      </c>
      <c r="AB28" s="37">
        <f t="shared" si="4"/>
        <v>-13.75800000000001</v>
      </c>
      <c r="AC28" s="37">
        <f t="shared" si="5"/>
        <v>-16.199999999999989</v>
      </c>
      <c r="AD28" s="34"/>
    </row>
    <row r="29" spans="1:30" ht="15.75" customHeight="1">
      <c r="A29" s="13">
        <v>27</v>
      </c>
      <c r="B29" s="40"/>
      <c r="C29" s="13" t="s">
        <v>46</v>
      </c>
      <c r="D29" s="13"/>
      <c r="E29" s="20" t="s">
        <v>75</v>
      </c>
      <c r="F29" s="13">
        <v>304</v>
      </c>
      <c r="G29" s="22">
        <f t="shared" si="0"/>
        <v>276.94400000000002</v>
      </c>
      <c r="H29" s="22">
        <f>F29*90%</f>
        <v>273.60000000000002</v>
      </c>
      <c r="I29" s="17">
        <f>SUM(K29:AA29)</f>
        <v>245</v>
      </c>
      <c r="J29" s="30">
        <f>I29/F29</f>
        <v>0.80592105263157898</v>
      </c>
      <c r="K29" s="18">
        <v>0</v>
      </c>
      <c r="L29" s="18">
        <v>15</v>
      </c>
      <c r="M29" s="18">
        <v>12</v>
      </c>
      <c r="N29" s="18">
        <v>18</v>
      </c>
      <c r="O29" s="18">
        <v>32</v>
      </c>
      <c r="P29" s="18">
        <v>23</v>
      </c>
      <c r="Q29" s="18">
        <v>9</v>
      </c>
      <c r="R29" s="18">
        <v>32</v>
      </c>
      <c r="S29" s="18">
        <v>15</v>
      </c>
      <c r="T29" s="18">
        <v>20</v>
      </c>
      <c r="U29" s="18">
        <v>17</v>
      </c>
      <c r="V29" s="18">
        <v>1</v>
      </c>
      <c r="W29" s="18">
        <v>9</v>
      </c>
      <c r="X29" s="18">
        <v>28</v>
      </c>
      <c r="Y29" s="18">
        <v>7</v>
      </c>
      <c r="Z29" s="18">
        <v>7</v>
      </c>
      <c r="AA29" s="18">
        <v>0</v>
      </c>
      <c r="AB29" s="37"/>
      <c r="AC29" s="37"/>
      <c r="AD29" s="34"/>
    </row>
    <row r="30" spans="1:30" ht="15" customHeight="1">
      <c r="A30" s="13">
        <v>28</v>
      </c>
      <c r="B30" s="40"/>
      <c r="C30" s="13" t="s">
        <v>46</v>
      </c>
      <c r="D30" s="13"/>
      <c r="E30" s="20" t="s">
        <v>76</v>
      </c>
      <c r="F30" s="13">
        <v>274</v>
      </c>
      <c r="G30" s="22">
        <f t="shared" si="0"/>
        <v>249.614</v>
      </c>
      <c r="H30" s="22">
        <f>F30*90%</f>
        <v>246.6</v>
      </c>
      <c r="I30" s="17">
        <f>SUM(K30:AA30)</f>
        <v>246</v>
      </c>
      <c r="J30" s="30">
        <f>I30/F30</f>
        <v>0.8978102189781022</v>
      </c>
      <c r="K30" s="18">
        <v>0</v>
      </c>
      <c r="L30" s="18">
        <v>7</v>
      </c>
      <c r="M30" s="18">
        <v>13</v>
      </c>
      <c r="N30" s="18">
        <v>27</v>
      </c>
      <c r="O30" s="18">
        <v>28</v>
      </c>
      <c r="P30" s="18">
        <v>1</v>
      </c>
      <c r="Q30" s="18">
        <v>27</v>
      </c>
      <c r="R30" s="18">
        <v>14</v>
      </c>
      <c r="S30" s="18">
        <v>27</v>
      </c>
      <c r="T30" s="18">
        <v>25</v>
      </c>
      <c r="U30" s="18">
        <v>29</v>
      </c>
      <c r="V30" s="18">
        <v>8</v>
      </c>
      <c r="W30" s="18">
        <v>28</v>
      </c>
      <c r="X30" s="18">
        <v>4</v>
      </c>
      <c r="Y30" s="18">
        <v>4</v>
      </c>
      <c r="Z30" s="18">
        <v>4</v>
      </c>
      <c r="AA30" s="18">
        <v>0</v>
      </c>
      <c r="AB30" s="37">
        <f t="shared" si="4"/>
        <v>3.6140000000000043</v>
      </c>
      <c r="AC30" s="37">
        <f t="shared" si="5"/>
        <v>0.59999999999999432</v>
      </c>
      <c r="AD30" s="34"/>
    </row>
    <row r="31" spans="1:30" ht="15" customHeight="1">
      <c r="A31" s="47" t="s">
        <v>27</v>
      </c>
      <c r="B31" s="47"/>
      <c r="C31" s="47"/>
      <c r="D31" s="47"/>
      <c r="E31" s="47"/>
      <c r="F31" s="14">
        <f>SUM(F3:F30)</f>
        <v>6888</v>
      </c>
      <c r="G31" s="14">
        <f>SUM(G3:G30)</f>
        <v>6274.9679999999998</v>
      </c>
      <c r="H31" s="14">
        <f>SUM(H3:H30)</f>
        <v>6199.2000000000016</v>
      </c>
      <c r="I31" s="17">
        <f>SUM(K31:AA31)</f>
        <v>6105</v>
      </c>
      <c r="J31" s="23">
        <f>I31/F31</f>
        <v>0.88632404181184665</v>
      </c>
      <c r="K31" s="19">
        <f t="shared" ref="K31:AA31" si="6">SUM(K3:K30)</f>
        <v>22</v>
      </c>
      <c r="L31" s="19">
        <f t="shared" si="6"/>
        <v>408</v>
      </c>
      <c r="M31" s="19">
        <f t="shared" si="6"/>
        <v>492</v>
      </c>
      <c r="N31" s="19">
        <f t="shared" si="6"/>
        <v>456</v>
      </c>
      <c r="O31" s="19">
        <f t="shared" si="6"/>
        <v>520</v>
      </c>
      <c r="P31" s="19">
        <f t="shared" si="6"/>
        <v>404</v>
      </c>
      <c r="Q31" s="19">
        <f t="shared" si="6"/>
        <v>437</v>
      </c>
      <c r="R31" s="19">
        <f t="shared" si="6"/>
        <v>486</v>
      </c>
      <c r="S31" s="19">
        <f t="shared" si="6"/>
        <v>491</v>
      </c>
      <c r="T31" s="19">
        <f t="shared" si="6"/>
        <v>446</v>
      </c>
      <c r="U31" s="19">
        <f t="shared" si="6"/>
        <v>471</v>
      </c>
      <c r="V31" s="19">
        <f t="shared" si="6"/>
        <v>415</v>
      </c>
      <c r="W31" s="19">
        <f t="shared" si="6"/>
        <v>443</v>
      </c>
      <c r="X31" s="19">
        <f t="shared" si="6"/>
        <v>429</v>
      </c>
      <c r="Y31" s="19">
        <f t="shared" si="6"/>
        <v>87</v>
      </c>
      <c r="Z31" s="19">
        <f t="shared" si="6"/>
        <v>98</v>
      </c>
      <c r="AA31" s="19">
        <f t="shared" si="6"/>
        <v>0</v>
      </c>
      <c r="AB31" s="37">
        <f>G31-I31</f>
        <v>169.96799999999985</v>
      </c>
      <c r="AC31" s="37">
        <f>H31-I31</f>
        <v>94.200000000001637</v>
      </c>
      <c r="AD31" s="34"/>
    </row>
    <row r="32" spans="1:30" ht="15" customHeight="1">
      <c r="B32" s="49" t="s">
        <v>41</v>
      </c>
      <c r="C32" s="50"/>
      <c r="D32" s="35"/>
      <c r="E32" s="36" t="s">
        <v>38</v>
      </c>
      <c r="F32" s="13"/>
      <c r="G32" s="13"/>
      <c r="H32" s="13"/>
      <c r="I32" s="13"/>
      <c r="J32" s="13"/>
      <c r="K32" s="13"/>
      <c r="L32" s="13"/>
    </row>
    <row r="33" spans="4:23" ht="15" customHeight="1">
      <c r="D33" s="26"/>
      <c r="E33" s="28" t="s">
        <v>39</v>
      </c>
      <c r="F33" s="13"/>
      <c r="G33" s="13"/>
      <c r="H33" s="13"/>
      <c r="I33" s="13"/>
      <c r="J33" s="13"/>
      <c r="K33" s="13"/>
      <c r="L33" s="13"/>
    </row>
    <row r="34" spans="4:23" ht="12.6" customHeight="1">
      <c r="D34" s="27"/>
      <c r="E34" s="21" t="s">
        <v>40</v>
      </c>
      <c r="F34" s="13"/>
      <c r="G34" s="13"/>
      <c r="H34" s="13"/>
      <c r="I34" s="13"/>
      <c r="J34" s="13"/>
      <c r="K34" s="13"/>
      <c r="L34" s="13"/>
      <c r="W34" s="9" t="s">
        <v>37</v>
      </c>
    </row>
    <row r="35" spans="4:23" ht="15" hidden="1" customHeight="1">
      <c r="D35" s="25"/>
      <c r="E35" s="48"/>
      <c r="F35" s="48"/>
      <c r="G35" s="48"/>
      <c r="H35" s="48"/>
      <c r="I35" s="48"/>
      <c r="J35" s="48"/>
      <c r="K35" s="48"/>
      <c r="L35" s="48"/>
    </row>
  </sheetData>
  <mergeCells count="10">
    <mergeCell ref="A31:E31"/>
    <mergeCell ref="E35:L35"/>
    <mergeCell ref="B32:C32"/>
    <mergeCell ref="AD1:AD2"/>
    <mergeCell ref="AB1:AB2"/>
    <mergeCell ref="AC1:AC2"/>
    <mergeCell ref="B3:B30"/>
    <mergeCell ref="V1:W1"/>
    <mergeCell ref="Y1:AA1"/>
    <mergeCell ref="A1:J1"/>
  </mergeCells>
  <phoneticPr fontId="4" type="noConversion"/>
  <conditionalFormatting sqref="J3:J31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{10939E7C-68E9-4E49-BB1B-4D689BBBC8EB}</x14:id>
        </ext>
      </extLst>
    </cfRule>
  </conditionalFormatting>
  <conditionalFormatting sqref="K3:AA30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939E7C-68E9-4E49-BB1B-4D689BBBC8EB}">
            <x14:dataBar minLength="0" maxLength="100" negativeBarColorSameAsPositive="1" axisPosition="none">
              <x14:cfvo type="min"/>
              <x14:cfvo type="max"/>
            </x14:dataBar>
          </x14:cfRule>
          <xm:sqref>J3:J31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9E0-A86C-4555-8C4C-93F5F4B8DEAF}">
  <dimension ref="A2:D2"/>
  <sheetViews>
    <sheetView workbookViewId="0">
      <selection activeCell="C3" sqref="C3:D4000"/>
    </sheetView>
  </sheetViews>
  <sheetFormatPr defaultRowHeight="12.75"/>
  <cols>
    <col min="1" max="1" width="18.140625" style="1" customWidth="1"/>
    <col min="2" max="2" width="30.140625" style="2" customWidth="1"/>
    <col min="3" max="3" width="28.140625" style="2" bestFit="1" customWidth="1"/>
    <col min="4" max="4" width="18.42578125" style="3" customWidth="1"/>
    <col min="5" max="5" width="22.140625" customWidth="1"/>
  </cols>
  <sheetData>
    <row r="2" spans="1:4" ht="14.25">
      <c r="A2" s="4" t="s">
        <v>28</v>
      </c>
      <c r="B2" s="5" t="s">
        <v>29</v>
      </c>
      <c r="C2" s="5" t="s">
        <v>30</v>
      </c>
      <c r="D2" s="6" t="s">
        <v>31</v>
      </c>
    </row>
  </sheetData>
  <autoFilter ref="A2:D2" xr:uid="{74007ED1-185A-46F5-A55C-3B5212AEEB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2026-10-03T09:33:38Z</dcterms:created>
  <dcterms:modified xsi:type="dcterms:W3CDTF">2026-10-03T12:53:28Z</dcterms:modified>
</cp:coreProperties>
</file>